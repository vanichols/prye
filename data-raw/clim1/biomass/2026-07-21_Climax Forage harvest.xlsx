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xr:revisionPtr revIDLastSave="201" documentId="8_{669609FD-BAF5-4C73-8C2B-BD858FDC72E2}" xr6:coauthVersionLast="47" xr6:coauthVersionMax="47" xr10:uidLastSave="{A6C7C87B-1039-483C-AAAC-828CE19FD17C}"/>
  <bookViews>
    <workbookView xWindow="-120" yWindow="-163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" i="1"/>
  <c r="E21" i="1"/>
  <c r="E15" i="1"/>
  <c r="E10" i="1"/>
  <c r="E9" i="1"/>
  <c r="E6" i="1"/>
  <c r="E5" i="1"/>
  <c r="E4" i="1"/>
  <c r="H3" i="1"/>
  <c r="I3" i="1" s="1"/>
  <c r="H4" i="1"/>
  <c r="I4" i="1" s="1"/>
  <c r="H5" i="1"/>
  <c r="I5" i="1"/>
  <c r="H6" i="1"/>
  <c r="I6" i="1" s="1"/>
  <c r="H7" i="1"/>
  <c r="I7" i="1" s="1"/>
  <c r="H8" i="1"/>
  <c r="I8" i="1"/>
  <c r="H9" i="1"/>
  <c r="I9" i="1" s="1"/>
  <c r="H10" i="1"/>
  <c r="I10" i="1" s="1"/>
  <c r="H11" i="1"/>
  <c r="H12" i="1"/>
  <c r="I12" i="1" s="1"/>
  <c r="H13" i="1"/>
  <c r="I13" i="1" s="1"/>
  <c r="H14" i="1"/>
  <c r="I14" i="1" s="1"/>
  <c r="H15" i="1"/>
  <c r="I15" i="1"/>
  <c r="H16" i="1"/>
  <c r="I16" i="1" s="1"/>
  <c r="H17" i="1"/>
  <c r="I17" i="1"/>
  <c r="H18" i="1"/>
  <c r="I18" i="1" s="1"/>
  <c r="H19" i="1"/>
  <c r="I19" i="1" s="1"/>
  <c r="H20" i="1"/>
  <c r="I20" i="1" s="1"/>
  <c r="H21" i="1"/>
  <c r="I21" i="1" s="1"/>
  <c r="H2" i="1"/>
  <c r="I2" i="1" s="1"/>
</calcChain>
</file>

<file path=xl/sharedStrings.xml><?xml version="1.0" encoding="utf-8"?>
<sst xmlns="http://schemas.openxmlformats.org/spreadsheetml/2006/main" count="116" uniqueCount="19">
  <si>
    <t>P_Buckmix, wide</t>
  </si>
  <si>
    <t>Plot</t>
  </si>
  <si>
    <t>Name</t>
  </si>
  <si>
    <t>Weight</t>
  </si>
  <si>
    <t>Unit</t>
  </si>
  <si>
    <t>P, nar</t>
  </si>
  <si>
    <t>P_Buckmix, nar</t>
  </si>
  <si>
    <t>P_Leg1mix, nar</t>
  </si>
  <si>
    <t>P_Leg2mix, wide</t>
  </si>
  <si>
    <t>KG</t>
  </si>
  <si>
    <t>Sample weight</t>
  </si>
  <si>
    <t>Sample dry weight</t>
  </si>
  <si>
    <t>Dry matter %</t>
  </si>
  <si>
    <t>Dry mass weight of plots</t>
  </si>
  <si>
    <t>g</t>
  </si>
  <si>
    <t>Perennial Rye</t>
  </si>
  <si>
    <t>Companion crop</t>
  </si>
  <si>
    <t>Weeds</t>
  </si>
  <si>
    <t>Total dry mass of sampled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</si>
</sst>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1" xfId="0" applyBorder="1"/>
    <xf numFmtId="9" fontId="0" fillId="0" borderId="1" xfId="1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Fill="1" applyBorder="1"/>
    <xf numFmtId="165" fontId="1" fillId="0" borderId="1" xfId="0" applyNumberFormat="1" applyFont="1" applyBorder="1" applyAlignment="1">
      <alignment vertical="center"/>
    </xf>
    <xf numFmtId="2" fontId="0" fillId="0" borderId="1" xfId="0" applyNumberFormat="1" applyBorder="1"/>
    <xf numFmtId="2" fontId="0" fillId="3" borderId="1" xfId="0" applyNumberFormat="1" applyFill="1" applyBorder="1"/>
  </cellXfs>
  <cellStyles count="2">
    <cellStyle name="Normal" xfId="0" builtinId="0"/>
    <cellStyle name="Pro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Q23"/>
  <sheetViews>
    <sheetView tabSelected="1" zoomScaleNormal="100" workbookViewId="0">
      <selection activeCell="N4" sqref="N4"/>
    </sheetView>
  </sheetViews>
  <sheetFormatPr defaultRowHeight="14.5" x14ac:dyDescent="0.35"/>
  <cols>
    <col min="2" max="2" width="15.90625" bestFit="1" customWidth="1"/>
    <col min="3" max="3" width="14.26953125" customWidth="1"/>
    <col min="4" max="4" width="4.6328125" bestFit="1" customWidth="1"/>
    <col min="5" max="5" width="14" bestFit="1" customWidth="1"/>
    <col min="6" max="6" width="17.26953125" bestFit="1" customWidth="1"/>
    <col min="7" max="7" width="4.6328125" bestFit="1" customWidth="1"/>
    <col min="8" max="8" width="12.54296875" bestFit="1" customWidth="1"/>
    <col min="9" max="9" width="22.6328125" bestFit="1" customWidth="1"/>
    <col min="12" max="12" width="15.90625" bestFit="1" customWidth="1"/>
    <col min="13" max="13" width="13.08984375" bestFit="1" customWidth="1"/>
    <col min="14" max="14" width="15.6328125" bestFit="1" customWidth="1"/>
    <col min="15" max="15" width="6.90625" bestFit="1" customWidth="1"/>
    <col min="16" max="16" width="30.26953125" bestFit="1" customWidth="1"/>
    <col min="17" max="17" width="4.6328125" bestFit="1" customWidth="1"/>
  </cols>
  <sheetData>
    <row r="1" spans="1:17" ht="16.5" customHeight="1" x14ac:dyDescent="0.4">
      <c r="A1" s="1" t="s">
        <v>1</v>
      </c>
      <c r="B1" s="1" t="s">
        <v>2</v>
      </c>
      <c r="C1" s="1" t="s">
        <v>3</v>
      </c>
      <c r="D1" s="1" t="s">
        <v>4</v>
      </c>
      <c r="E1" s="1" t="s">
        <v>10</v>
      </c>
      <c r="F1" s="1" t="s">
        <v>11</v>
      </c>
      <c r="G1" s="1" t="s">
        <v>4</v>
      </c>
      <c r="H1" s="1" t="s">
        <v>12</v>
      </c>
      <c r="I1" s="1" t="s">
        <v>13</v>
      </c>
      <c r="K1" s="1" t="s">
        <v>1</v>
      </c>
      <c r="L1" s="1" t="s">
        <v>2</v>
      </c>
      <c r="M1" s="9" t="s">
        <v>15</v>
      </c>
      <c r="N1" s="9" t="s">
        <v>16</v>
      </c>
      <c r="O1" s="9" t="s">
        <v>17</v>
      </c>
      <c r="P1" s="9" t="s">
        <v>18</v>
      </c>
      <c r="Q1" s="9" t="s">
        <v>4</v>
      </c>
    </row>
    <row r="2" spans="1:17" ht="30" customHeight="1" x14ac:dyDescent="0.35">
      <c r="A2" s="2">
        <v>106</v>
      </c>
      <c r="B2" s="3" t="s">
        <v>0</v>
      </c>
      <c r="C2" s="8">
        <v>22</v>
      </c>
      <c r="D2" s="2" t="s">
        <v>9</v>
      </c>
      <c r="E2" s="6">
        <v>374.8</v>
      </c>
      <c r="F2" s="6">
        <v>121.55</v>
      </c>
      <c r="G2" s="6" t="s">
        <v>14</v>
      </c>
      <c r="H2" s="7">
        <f>F2/E2</f>
        <v>0.3243062966915688</v>
      </c>
      <c r="I2" s="10">
        <f>H2*C2</f>
        <v>7.1347385272145134</v>
      </c>
      <c r="K2" s="2">
        <v>106</v>
      </c>
      <c r="L2" s="3" t="s">
        <v>0</v>
      </c>
      <c r="M2" s="11">
        <v>115.07</v>
      </c>
      <c r="N2" s="11">
        <v>39.19</v>
      </c>
      <c r="O2" s="11">
        <v>2.83</v>
      </c>
      <c r="P2" s="11">
        <f>M2+N2+O2</f>
        <v>157.09</v>
      </c>
      <c r="Q2" s="6" t="s">
        <v>14</v>
      </c>
    </row>
    <row r="3" spans="1:17" ht="30" customHeight="1" x14ac:dyDescent="0.35">
      <c r="A3" s="2">
        <v>115</v>
      </c>
      <c r="B3" s="3" t="s">
        <v>5</v>
      </c>
      <c r="C3" s="8">
        <v>21.6</v>
      </c>
      <c r="D3" s="2" t="s">
        <v>9</v>
      </c>
      <c r="E3" s="6">
        <v>334.85</v>
      </c>
      <c r="F3" s="6">
        <v>106.07</v>
      </c>
      <c r="G3" s="6" t="s">
        <v>14</v>
      </c>
      <c r="H3" s="7">
        <f t="shared" ref="H3:H21" si="0">F3/E3</f>
        <v>0.31676870240406146</v>
      </c>
      <c r="I3" s="10">
        <f t="shared" ref="I3:I21" si="1">H3*C3</f>
        <v>6.8422039719277281</v>
      </c>
      <c r="K3" s="2">
        <v>115</v>
      </c>
      <c r="L3" s="3" t="s">
        <v>5</v>
      </c>
      <c r="M3" s="11">
        <v>125.9</v>
      </c>
      <c r="N3" s="12"/>
      <c r="O3" s="11">
        <v>8.75</v>
      </c>
      <c r="P3" s="11">
        <f t="shared" ref="P3:P21" si="2">M3+N3+O3</f>
        <v>134.65</v>
      </c>
      <c r="Q3" s="6" t="s">
        <v>14</v>
      </c>
    </row>
    <row r="4" spans="1:17" ht="30" customHeight="1" x14ac:dyDescent="0.35">
      <c r="A4" s="2">
        <v>118</v>
      </c>
      <c r="B4" s="3" t="s">
        <v>6</v>
      </c>
      <c r="C4" s="8">
        <v>26.4</v>
      </c>
      <c r="D4" s="2" t="s">
        <v>9</v>
      </c>
      <c r="E4" s="6">
        <f>488.7-15.58</f>
        <v>473.12</v>
      </c>
      <c r="F4" s="6">
        <v>156.24</v>
      </c>
      <c r="G4" s="6" t="s">
        <v>14</v>
      </c>
      <c r="H4" s="7">
        <f t="shared" si="0"/>
        <v>0.33023334460601961</v>
      </c>
      <c r="I4" s="10">
        <f t="shared" si="1"/>
        <v>8.7181602975989172</v>
      </c>
      <c r="K4" s="2">
        <v>118</v>
      </c>
      <c r="L4" s="3" t="s">
        <v>6</v>
      </c>
      <c r="M4" s="11">
        <v>114.95</v>
      </c>
      <c r="N4" s="11">
        <v>27.2</v>
      </c>
      <c r="O4" s="11">
        <v>20.54</v>
      </c>
      <c r="P4" s="11">
        <f t="shared" si="2"/>
        <v>162.69</v>
      </c>
      <c r="Q4" s="6" t="s">
        <v>14</v>
      </c>
    </row>
    <row r="5" spans="1:17" ht="30" customHeight="1" x14ac:dyDescent="0.35">
      <c r="A5" s="2">
        <v>125</v>
      </c>
      <c r="B5" s="3" t="s">
        <v>7</v>
      </c>
      <c r="C5" s="8">
        <v>27.6</v>
      </c>
      <c r="D5" s="2" t="s">
        <v>9</v>
      </c>
      <c r="E5" s="6">
        <f>453.89-15.58</f>
        <v>438.31</v>
      </c>
      <c r="F5" s="6">
        <v>138.88999999999999</v>
      </c>
      <c r="G5" s="6" t="s">
        <v>14</v>
      </c>
      <c r="H5" s="7">
        <f t="shared" si="0"/>
        <v>0.31687618352307723</v>
      </c>
      <c r="I5" s="10">
        <f t="shared" si="1"/>
        <v>8.7457826652369324</v>
      </c>
      <c r="K5" s="2">
        <v>125</v>
      </c>
      <c r="L5" s="3" t="s">
        <v>7</v>
      </c>
      <c r="M5" s="11">
        <v>155.69</v>
      </c>
      <c r="N5" s="11">
        <v>29.78</v>
      </c>
      <c r="O5" s="11">
        <v>13.18</v>
      </c>
      <c r="P5" s="11">
        <f t="shared" si="2"/>
        <v>198.65</v>
      </c>
      <c r="Q5" s="6" t="s">
        <v>14</v>
      </c>
    </row>
    <row r="6" spans="1:17" ht="30" customHeight="1" x14ac:dyDescent="0.35">
      <c r="A6" s="2">
        <v>139</v>
      </c>
      <c r="B6" s="3" t="s">
        <v>8</v>
      </c>
      <c r="C6" s="8">
        <v>14.6</v>
      </c>
      <c r="D6" s="2" t="s">
        <v>9</v>
      </c>
      <c r="E6" s="6">
        <f>405.39-15.58</f>
        <v>389.81</v>
      </c>
      <c r="F6" s="6">
        <v>125.88</v>
      </c>
      <c r="G6" s="6" t="s">
        <v>14</v>
      </c>
      <c r="H6" s="7">
        <f t="shared" si="0"/>
        <v>0.32292655396218667</v>
      </c>
      <c r="I6" s="10">
        <f t="shared" si="1"/>
        <v>4.7147276878479252</v>
      </c>
      <c r="K6" s="2">
        <v>139</v>
      </c>
      <c r="L6" s="3" t="s">
        <v>8</v>
      </c>
      <c r="M6" s="11">
        <v>109.81</v>
      </c>
      <c r="N6" s="11">
        <v>8.76</v>
      </c>
      <c r="O6" s="11">
        <v>4.8899999999999997</v>
      </c>
      <c r="P6" s="11">
        <f t="shared" si="2"/>
        <v>123.46000000000001</v>
      </c>
      <c r="Q6" s="6" t="s">
        <v>14</v>
      </c>
    </row>
    <row r="7" spans="1:17" ht="30" customHeight="1" x14ac:dyDescent="0.35">
      <c r="A7" s="2">
        <v>202</v>
      </c>
      <c r="B7" s="3" t="s">
        <v>0</v>
      </c>
      <c r="C7" s="8">
        <v>23.3</v>
      </c>
      <c r="D7" s="2" t="s">
        <v>9</v>
      </c>
      <c r="E7" s="6">
        <v>469.74</v>
      </c>
      <c r="F7" s="6">
        <v>153.88</v>
      </c>
      <c r="G7" s="6" t="s">
        <v>14</v>
      </c>
      <c r="H7" s="7">
        <f t="shared" si="0"/>
        <v>0.32758547281474859</v>
      </c>
      <c r="I7" s="10">
        <f t="shared" si="1"/>
        <v>7.6327415165836427</v>
      </c>
      <c r="K7" s="2">
        <v>202</v>
      </c>
      <c r="L7" s="3" t="s">
        <v>0</v>
      </c>
      <c r="M7" s="11">
        <v>141.69</v>
      </c>
      <c r="N7" s="11">
        <v>39.69</v>
      </c>
      <c r="O7" s="11">
        <v>12.28</v>
      </c>
      <c r="P7" s="11">
        <f t="shared" si="2"/>
        <v>193.66</v>
      </c>
      <c r="Q7" s="6" t="s">
        <v>14</v>
      </c>
    </row>
    <row r="8" spans="1:17" ht="30" customHeight="1" x14ac:dyDescent="0.35">
      <c r="A8" s="2">
        <v>206</v>
      </c>
      <c r="B8" s="3" t="s">
        <v>5</v>
      </c>
      <c r="C8" s="8">
        <v>22.4</v>
      </c>
      <c r="D8" s="2" t="s">
        <v>9</v>
      </c>
      <c r="E8" s="6">
        <v>487.73</v>
      </c>
      <c r="F8" s="6">
        <v>154.53</v>
      </c>
      <c r="G8" s="6" t="s">
        <v>14</v>
      </c>
      <c r="H8" s="7">
        <f t="shared" si="0"/>
        <v>0.31683513419309861</v>
      </c>
      <c r="I8" s="10">
        <f t="shared" si="1"/>
        <v>7.097107005925408</v>
      </c>
      <c r="K8" s="2">
        <v>206</v>
      </c>
      <c r="L8" s="3" t="s">
        <v>5</v>
      </c>
      <c r="M8" s="11">
        <v>145.04</v>
      </c>
      <c r="N8" s="12"/>
      <c r="O8" s="11">
        <v>9.3699999999999992</v>
      </c>
      <c r="P8" s="11">
        <f t="shared" si="2"/>
        <v>154.41</v>
      </c>
      <c r="Q8" s="6" t="s">
        <v>14</v>
      </c>
    </row>
    <row r="9" spans="1:17" ht="30" customHeight="1" x14ac:dyDescent="0.35">
      <c r="A9" s="2">
        <v>223</v>
      </c>
      <c r="B9" s="3" t="s">
        <v>6</v>
      </c>
      <c r="C9" s="8">
        <v>21.5</v>
      </c>
      <c r="D9" s="2" t="s">
        <v>9</v>
      </c>
      <c r="E9" s="6">
        <f>385.88-15.58</f>
        <v>370.3</v>
      </c>
      <c r="F9" s="6">
        <v>119.39</v>
      </c>
      <c r="G9" s="6" t="s">
        <v>14</v>
      </c>
      <c r="H9" s="7">
        <f t="shared" si="0"/>
        <v>0.32241425870915474</v>
      </c>
      <c r="I9" s="10">
        <f t="shared" si="1"/>
        <v>6.9319065622468266</v>
      </c>
      <c r="K9" s="2">
        <v>223</v>
      </c>
      <c r="L9" s="3" t="s">
        <v>6</v>
      </c>
      <c r="M9" s="11">
        <v>138.19</v>
      </c>
      <c r="N9" s="11">
        <v>25.4</v>
      </c>
      <c r="O9" s="11">
        <v>11.56</v>
      </c>
      <c r="P9" s="11">
        <f t="shared" si="2"/>
        <v>175.15</v>
      </c>
      <c r="Q9" s="6" t="s">
        <v>14</v>
      </c>
    </row>
    <row r="10" spans="1:17" ht="30" customHeight="1" x14ac:dyDescent="0.35">
      <c r="A10" s="2">
        <v>247</v>
      </c>
      <c r="B10" s="3" t="s">
        <v>8</v>
      </c>
      <c r="C10" s="8">
        <v>16.100000000000001</v>
      </c>
      <c r="D10" s="2" t="s">
        <v>9</v>
      </c>
      <c r="E10" s="6">
        <f>361.56-15.58</f>
        <v>345.98</v>
      </c>
      <c r="F10" s="6">
        <v>110.56</v>
      </c>
      <c r="G10" s="6" t="s">
        <v>14</v>
      </c>
      <c r="H10" s="7">
        <f t="shared" si="0"/>
        <v>0.31955604370194807</v>
      </c>
      <c r="I10" s="10">
        <f t="shared" si="1"/>
        <v>5.1448523036013647</v>
      </c>
      <c r="K10" s="2">
        <v>247</v>
      </c>
      <c r="L10" s="3" t="s">
        <v>8</v>
      </c>
      <c r="M10" s="11">
        <v>108.37</v>
      </c>
      <c r="N10" s="11">
        <v>13.58</v>
      </c>
      <c r="O10" s="11">
        <v>7.24</v>
      </c>
      <c r="P10" s="11">
        <f t="shared" si="2"/>
        <v>129.19</v>
      </c>
      <c r="Q10" s="6" t="s">
        <v>14</v>
      </c>
    </row>
    <row r="11" spans="1:17" ht="30" customHeight="1" x14ac:dyDescent="0.35">
      <c r="A11" s="2">
        <v>252</v>
      </c>
      <c r="B11" s="3" t="s">
        <v>7</v>
      </c>
      <c r="C11" s="8">
        <v>11.6</v>
      </c>
      <c r="D11" s="2" t="s">
        <v>9</v>
      </c>
      <c r="E11" s="6">
        <v>265.95</v>
      </c>
      <c r="F11" s="6">
        <v>76.569999999999993</v>
      </c>
      <c r="G11" s="6" t="s">
        <v>14</v>
      </c>
      <c r="H11" s="7">
        <f t="shared" si="0"/>
        <v>0.28791126151532243</v>
      </c>
      <c r="I11" s="10">
        <f>H11*C11</f>
        <v>3.3397706335777402</v>
      </c>
      <c r="K11" s="2">
        <v>252</v>
      </c>
      <c r="L11" s="3" t="s">
        <v>7</v>
      </c>
      <c r="M11" s="11">
        <v>77.34</v>
      </c>
      <c r="N11" s="11">
        <v>14.18</v>
      </c>
      <c r="O11" s="11">
        <v>12.92</v>
      </c>
      <c r="P11" s="11">
        <f t="shared" si="2"/>
        <v>104.44000000000001</v>
      </c>
      <c r="Q11" s="6" t="s">
        <v>14</v>
      </c>
    </row>
    <row r="12" spans="1:17" ht="30" customHeight="1" x14ac:dyDescent="0.35">
      <c r="A12" s="2">
        <v>313</v>
      </c>
      <c r="B12" s="3" t="s">
        <v>8</v>
      </c>
      <c r="C12" s="8">
        <v>23.5</v>
      </c>
      <c r="D12" s="2" t="s">
        <v>9</v>
      </c>
      <c r="E12" s="6">
        <v>367.95</v>
      </c>
      <c r="F12" s="6">
        <v>122.79</v>
      </c>
      <c r="G12" s="6" t="s">
        <v>14</v>
      </c>
      <c r="H12" s="7">
        <f t="shared" si="0"/>
        <v>0.33371381981247455</v>
      </c>
      <c r="I12" s="10">
        <f t="shared" si="1"/>
        <v>7.8422747655931522</v>
      </c>
      <c r="K12" s="2">
        <v>313</v>
      </c>
      <c r="L12" s="3" t="s">
        <v>8</v>
      </c>
      <c r="M12" s="11">
        <v>106.58</v>
      </c>
      <c r="N12" s="11">
        <v>84.19</v>
      </c>
      <c r="O12" s="11">
        <v>40.94</v>
      </c>
      <c r="P12" s="11">
        <f t="shared" si="2"/>
        <v>231.70999999999998</v>
      </c>
      <c r="Q12" s="6" t="s">
        <v>14</v>
      </c>
    </row>
    <row r="13" spans="1:17" ht="30" customHeight="1" x14ac:dyDescent="0.35">
      <c r="A13" s="2">
        <v>314</v>
      </c>
      <c r="B13" s="3" t="s">
        <v>0</v>
      </c>
      <c r="C13" s="8">
        <v>20.5</v>
      </c>
      <c r="D13" s="2" t="s">
        <v>9</v>
      </c>
      <c r="E13" s="6">
        <v>272.57</v>
      </c>
      <c r="F13" s="6">
        <v>100.94</v>
      </c>
      <c r="G13" s="6" t="s">
        <v>14</v>
      </c>
      <c r="H13" s="7">
        <f t="shared" si="0"/>
        <v>0.37032688850570494</v>
      </c>
      <c r="I13" s="10">
        <f t="shared" si="1"/>
        <v>7.5917012143669513</v>
      </c>
      <c r="K13" s="2">
        <v>314</v>
      </c>
      <c r="L13" s="3" t="s">
        <v>0</v>
      </c>
      <c r="M13" s="11">
        <v>104.32</v>
      </c>
      <c r="N13" s="11">
        <v>82.92</v>
      </c>
      <c r="O13" s="11">
        <v>6.07</v>
      </c>
      <c r="P13" s="11">
        <f t="shared" si="2"/>
        <v>193.31</v>
      </c>
      <c r="Q13" s="6" t="s">
        <v>14</v>
      </c>
    </row>
    <row r="14" spans="1:17" ht="30" customHeight="1" x14ac:dyDescent="0.35">
      <c r="A14" s="2">
        <v>328</v>
      </c>
      <c r="B14" s="3" t="s">
        <v>7</v>
      </c>
      <c r="C14" s="8">
        <v>31.3</v>
      </c>
      <c r="D14" s="2" t="s">
        <v>9</v>
      </c>
      <c r="E14" s="6">
        <v>407.2</v>
      </c>
      <c r="F14" s="6">
        <v>136.80000000000001</v>
      </c>
      <c r="G14" s="6" t="s">
        <v>14</v>
      </c>
      <c r="H14" s="7">
        <f t="shared" si="0"/>
        <v>0.33595284872298631</v>
      </c>
      <c r="I14" s="10">
        <f t="shared" si="1"/>
        <v>10.515324165029472</v>
      </c>
      <c r="K14" s="2">
        <v>328</v>
      </c>
      <c r="L14" s="3" t="s">
        <v>7</v>
      </c>
      <c r="M14" s="11">
        <v>153.21</v>
      </c>
      <c r="N14" s="11">
        <v>37.229999999999997</v>
      </c>
      <c r="O14" s="11">
        <v>20.29</v>
      </c>
      <c r="P14" s="11">
        <f t="shared" si="2"/>
        <v>210.73</v>
      </c>
      <c r="Q14" s="6" t="s">
        <v>14</v>
      </c>
    </row>
    <row r="15" spans="1:17" ht="30" customHeight="1" x14ac:dyDescent="0.35">
      <c r="A15" s="2">
        <v>335</v>
      </c>
      <c r="B15" s="3" t="s">
        <v>6</v>
      </c>
      <c r="C15" s="8">
        <v>24.2</v>
      </c>
      <c r="D15" s="2" t="s">
        <v>9</v>
      </c>
      <c r="E15" s="6">
        <f>483.96-15.58</f>
        <v>468.38</v>
      </c>
      <c r="F15" s="6">
        <v>161.41999999999999</v>
      </c>
      <c r="G15" s="6" t="s">
        <v>14</v>
      </c>
      <c r="H15" s="7">
        <f t="shared" si="0"/>
        <v>0.34463469832187538</v>
      </c>
      <c r="I15" s="10">
        <f t="shared" si="1"/>
        <v>8.3401596993893836</v>
      </c>
      <c r="K15" s="2">
        <v>335</v>
      </c>
      <c r="L15" s="3" t="s">
        <v>6</v>
      </c>
      <c r="M15" s="11">
        <v>140.55000000000001</v>
      </c>
      <c r="N15" s="11">
        <v>24.23</v>
      </c>
      <c r="O15" s="11">
        <v>0.99</v>
      </c>
      <c r="P15" s="11">
        <f t="shared" si="2"/>
        <v>165.77</v>
      </c>
      <c r="Q15" s="6" t="s">
        <v>14</v>
      </c>
    </row>
    <row r="16" spans="1:17" ht="30" customHeight="1" x14ac:dyDescent="0.35">
      <c r="A16" s="2">
        <v>350</v>
      </c>
      <c r="B16" s="3" t="s">
        <v>5</v>
      </c>
      <c r="C16" s="8">
        <v>22.4</v>
      </c>
      <c r="D16" s="2" t="s">
        <v>9</v>
      </c>
      <c r="E16" s="6">
        <v>425.21</v>
      </c>
      <c r="F16" s="6">
        <v>138.71</v>
      </c>
      <c r="G16" s="6" t="s">
        <v>14</v>
      </c>
      <c r="H16" s="7">
        <f t="shared" si="0"/>
        <v>0.32621528186072768</v>
      </c>
      <c r="I16" s="10">
        <f t="shared" si="1"/>
        <v>7.3072223136802998</v>
      </c>
      <c r="K16" s="2">
        <v>350</v>
      </c>
      <c r="L16" s="3" t="s">
        <v>5</v>
      </c>
      <c r="M16" s="11">
        <v>174.53</v>
      </c>
      <c r="N16" s="12"/>
      <c r="O16" s="11">
        <v>5.28</v>
      </c>
      <c r="P16" s="11">
        <f t="shared" si="2"/>
        <v>179.81</v>
      </c>
      <c r="Q16" s="6" t="s">
        <v>14</v>
      </c>
    </row>
    <row r="17" spans="1:17" ht="30" customHeight="1" x14ac:dyDescent="0.35">
      <c r="A17" s="2">
        <v>411</v>
      </c>
      <c r="B17" s="3" t="s">
        <v>8</v>
      </c>
      <c r="C17" s="8">
        <v>26.6</v>
      </c>
      <c r="D17" s="2" t="s">
        <v>9</v>
      </c>
      <c r="E17" s="6">
        <v>461.26</v>
      </c>
      <c r="F17" s="6">
        <v>152.09</v>
      </c>
      <c r="G17" s="6" t="s">
        <v>14</v>
      </c>
      <c r="H17" s="7">
        <f t="shared" si="0"/>
        <v>0.32972726878550063</v>
      </c>
      <c r="I17" s="10">
        <f t="shared" si="1"/>
        <v>8.7707453496943177</v>
      </c>
      <c r="K17" s="2">
        <v>411</v>
      </c>
      <c r="L17" s="3" t="s">
        <v>8</v>
      </c>
      <c r="M17" s="11">
        <v>134.09</v>
      </c>
      <c r="N17" s="11">
        <v>2.31</v>
      </c>
      <c r="O17" s="11">
        <v>27.68</v>
      </c>
      <c r="P17" s="11">
        <f t="shared" si="2"/>
        <v>164.08</v>
      </c>
      <c r="Q17" s="6" t="s">
        <v>14</v>
      </c>
    </row>
    <row r="18" spans="1:17" ht="30" customHeight="1" x14ac:dyDescent="0.35">
      <c r="A18" s="2">
        <v>415</v>
      </c>
      <c r="B18" s="3" t="s">
        <v>7</v>
      </c>
      <c r="C18" s="8">
        <v>19</v>
      </c>
      <c r="D18" s="2" t="s">
        <v>9</v>
      </c>
      <c r="E18" s="6">
        <v>415.77</v>
      </c>
      <c r="F18" s="6">
        <v>138.49</v>
      </c>
      <c r="G18" s="6" t="s">
        <v>14</v>
      </c>
      <c r="H18" s="7">
        <f t="shared" si="0"/>
        <v>0.33309281573947136</v>
      </c>
      <c r="I18" s="10">
        <f t="shared" si="1"/>
        <v>6.3287634990499555</v>
      </c>
      <c r="K18" s="2">
        <v>415</v>
      </c>
      <c r="L18" s="3" t="s">
        <v>7</v>
      </c>
      <c r="M18" s="11">
        <v>138.6</v>
      </c>
      <c r="N18" s="11">
        <v>13.74</v>
      </c>
      <c r="O18" s="11">
        <v>18.93</v>
      </c>
      <c r="P18" s="11">
        <f t="shared" si="2"/>
        <v>171.27</v>
      </c>
      <c r="Q18" s="6" t="s">
        <v>14</v>
      </c>
    </row>
    <row r="19" spans="1:17" ht="30" customHeight="1" x14ac:dyDescent="0.35">
      <c r="A19" s="2">
        <v>416</v>
      </c>
      <c r="B19" s="3" t="s">
        <v>6</v>
      </c>
      <c r="C19" s="8">
        <v>19.399999999999999</v>
      </c>
      <c r="D19" s="2" t="s">
        <v>9</v>
      </c>
      <c r="E19" s="6">
        <v>376.17</v>
      </c>
      <c r="F19" s="6">
        <v>121.03</v>
      </c>
      <c r="G19" s="6" t="s">
        <v>14</v>
      </c>
      <c r="H19" s="7">
        <f t="shared" si="0"/>
        <v>0.32174282904006168</v>
      </c>
      <c r="I19" s="10">
        <f t="shared" si="1"/>
        <v>6.2418108833771964</v>
      </c>
      <c r="K19" s="2">
        <v>416</v>
      </c>
      <c r="L19" s="3" t="s">
        <v>6</v>
      </c>
      <c r="M19" s="11">
        <v>126.14</v>
      </c>
      <c r="N19" s="11">
        <v>14.44</v>
      </c>
      <c r="O19" s="11">
        <v>11.64</v>
      </c>
      <c r="P19" s="11">
        <f t="shared" si="2"/>
        <v>152.22000000000003</v>
      </c>
      <c r="Q19" s="6" t="s">
        <v>14</v>
      </c>
    </row>
    <row r="20" spans="1:17" ht="30" customHeight="1" x14ac:dyDescent="0.35">
      <c r="A20" s="2">
        <v>420</v>
      </c>
      <c r="B20" s="3" t="s">
        <v>0</v>
      </c>
      <c r="C20" s="8">
        <v>19.2</v>
      </c>
      <c r="D20" s="2" t="s">
        <v>9</v>
      </c>
      <c r="E20" s="6">
        <v>324.24</v>
      </c>
      <c r="F20" s="6">
        <v>108.57</v>
      </c>
      <c r="G20" s="6" t="s">
        <v>14</v>
      </c>
      <c r="H20" s="7">
        <f t="shared" si="0"/>
        <v>0.3348445595854922</v>
      </c>
      <c r="I20" s="10">
        <f t="shared" si="1"/>
        <v>6.4290155440414498</v>
      </c>
      <c r="K20" s="2">
        <v>420</v>
      </c>
      <c r="L20" s="3" t="s">
        <v>0</v>
      </c>
      <c r="M20" s="11">
        <v>123.05</v>
      </c>
      <c r="N20" s="11">
        <v>26.91</v>
      </c>
      <c r="O20" s="11">
        <v>8.33</v>
      </c>
      <c r="P20" s="11">
        <f t="shared" si="2"/>
        <v>158.29000000000002</v>
      </c>
      <c r="Q20" s="6" t="s">
        <v>14</v>
      </c>
    </row>
    <row r="21" spans="1:17" ht="30" customHeight="1" x14ac:dyDescent="0.35">
      <c r="A21" s="2">
        <v>421</v>
      </c>
      <c r="B21" s="3" t="s">
        <v>5</v>
      </c>
      <c r="C21" s="8">
        <v>16.8</v>
      </c>
      <c r="D21" s="2" t="s">
        <v>9</v>
      </c>
      <c r="E21" s="6">
        <f>436.22-15.58</f>
        <v>420.64000000000004</v>
      </c>
      <c r="F21" s="6">
        <v>135.08000000000001</v>
      </c>
      <c r="G21" s="6" t="s">
        <v>14</v>
      </c>
      <c r="H21" s="7">
        <f t="shared" si="0"/>
        <v>0.32112970711297073</v>
      </c>
      <c r="I21" s="10">
        <f t="shared" si="1"/>
        <v>5.3949790794979089</v>
      </c>
      <c r="K21" s="2">
        <v>421</v>
      </c>
      <c r="L21" s="3" t="s">
        <v>5</v>
      </c>
      <c r="M21" s="11">
        <v>120.84</v>
      </c>
      <c r="N21" s="12"/>
      <c r="O21" s="11">
        <v>6.36</v>
      </c>
      <c r="P21" s="11">
        <f t="shared" si="2"/>
        <v>127.2</v>
      </c>
      <c r="Q21" s="6" t="s">
        <v>14</v>
      </c>
    </row>
    <row r="22" spans="1:17" x14ac:dyDescent="0.35">
      <c r="A22" s="4"/>
      <c r="B22" s="5"/>
      <c r="C22" s="5"/>
      <c r="D22" s="5"/>
    </row>
    <row r="23" spans="1:17" x14ac:dyDescent="0.35">
      <c r="A23" s="5"/>
      <c r="B23" s="5"/>
      <c r="C23" s="5"/>
      <c r="D23" s="5"/>
    </row>
  </sheetData>
  <pageMargins left="0.7" right="0.7" top="0.75" bottom="0.75" header="0.3" footer="0.3"/>
  <pageSetup orientation="portrait" r:id="rId1"/>
  <headerFooter>
    <oddHeader>&amp;L&amp;14Weight on grass-harvester
&amp;C&amp;14Forageharvest Climax&amp;R&amp;14 21-07-2026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7408D0D6-C97A-426B-8466-DDDAA7A3F420}">
  <ds:schemaRefs/>
</ds:datastoreItem>
</file>

<file path=customXml/itemProps2.xml><?xml version="1.0" encoding="utf-8"?>
<ds:datastoreItem xmlns:ds="http://schemas.openxmlformats.org/officeDocument/2006/customXml" ds:itemID="{613AEFFE-C095-42A7-A0AC-5564FFC1D197}">
  <ds:schemaRefs/>
</ds:datastoreItem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2025-07-30T05:48:00Z</dcterms:created>
  <dcterms:modified xsi:type="dcterms:W3CDTF">2026-07-24T12:03:39Z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1209922257684795960</vt:lpwstr>
  </property>
  <property fmtid="{D5CDD505-2E9C-101B-9397-08002B2CF9AE}" pid="5" name="TemplafyLanguageCode">
    <vt:lpwstr>da-DK</vt:lpwstr>
  </property>
  <property fmtid="{D5CDD505-2E9C-101B-9397-08002B2CF9AE}" pid="6" name="TemplafyFromBlank">
    <vt:bool>true</vt:bool>
  </property>
</Properties>
</file>