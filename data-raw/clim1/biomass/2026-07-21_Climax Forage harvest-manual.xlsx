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202300"/>
  <xr:revisionPtr revIDLastSave="0" documentId="13_ncr:1_{1CF24AB6-497F-4ED1-A1F3-9D95DAFEAE1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achine" sheetId="1" r:id="rId1"/>
    <sheet name="ha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1" l="1"/>
  <c r="H26" i="1" s="1"/>
  <c r="I26" i="1" s="1"/>
  <c r="E20" i="1"/>
  <c r="H20" i="1" s="1"/>
  <c r="I20" i="1" s="1"/>
  <c r="E15" i="1"/>
  <c r="H15" i="1" s="1"/>
  <c r="I15" i="1" s="1"/>
  <c r="E14" i="1"/>
  <c r="H14" i="1" s="1"/>
  <c r="I14" i="1" s="1"/>
  <c r="E11" i="1"/>
  <c r="E10" i="1"/>
  <c r="E9" i="1"/>
  <c r="H9" i="1" s="1"/>
  <c r="I9" i="1" s="1"/>
  <c r="H8" i="1"/>
  <c r="I8" i="1" s="1"/>
  <c r="H10" i="1"/>
  <c r="I10" i="1" s="1"/>
  <c r="H11" i="1"/>
  <c r="I11" i="1" s="1"/>
  <c r="H12" i="1"/>
  <c r="I12" i="1" s="1"/>
  <c r="H13" i="1"/>
  <c r="I13" i="1" s="1"/>
  <c r="H16" i="1"/>
  <c r="I16" i="1" s="1"/>
  <c r="H17" i="1"/>
  <c r="I17" i="1" s="1"/>
  <c r="H18" i="1"/>
  <c r="I18" i="1" s="1"/>
  <c r="H19" i="1"/>
  <c r="I19" i="1" s="1"/>
  <c r="H21" i="1"/>
  <c r="I21" i="1" s="1"/>
  <c r="H22" i="1"/>
  <c r="I22" i="1"/>
  <c r="H23" i="1"/>
  <c r="I23" i="1" s="1"/>
  <c r="H24" i="1"/>
  <c r="I24" i="1" s="1"/>
  <c r="H25" i="1"/>
  <c r="I25" i="1" s="1"/>
  <c r="H7" i="1"/>
  <c r="I7" i="1" s="1"/>
</calcChain>
</file>

<file path=xl/sharedStrings.xml><?xml version="1.0" encoding="utf-8"?>
<sst xmlns="http://schemas.openxmlformats.org/spreadsheetml/2006/main" count="142" uniqueCount="30">
  <si>
    <t>P_Buckmix, wide</t>
  </si>
  <si>
    <t>Plot</t>
  </si>
  <si>
    <t>Name</t>
  </si>
  <si>
    <t>Weight</t>
  </si>
  <si>
    <t>Unit</t>
  </si>
  <si>
    <t>P, nar</t>
  </si>
  <si>
    <t>P_Buckmix, nar</t>
  </si>
  <si>
    <t>P_Leg1mix, nar</t>
  </si>
  <si>
    <t>P_Leg2mix, wide</t>
  </si>
  <si>
    <t>KG</t>
  </si>
  <si>
    <t>Sample weight</t>
  </si>
  <si>
    <t>Sample dry weight</t>
  </si>
  <si>
    <t>Dry matter %</t>
  </si>
  <si>
    <t>Dry mass weight of plots</t>
  </si>
  <si>
    <t>g</t>
  </si>
  <si>
    <t>Perennial Rye</t>
  </si>
  <si>
    <t>Companion crop</t>
  </si>
  <si>
    <t>Weeds</t>
  </si>
  <si>
    <t>Total dry mass of sampled points</t>
  </si>
  <si>
    <t>These are the forage harvests</t>
  </si>
  <si>
    <t>These are the values collected from a 0.5 m2 quadrat (two per plot)</t>
  </si>
  <si>
    <t>So I think it is the weight per m2</t>
  </si>
  <si>
    <t>trt_name</t>
  </si>
  <si>
    <t>Manually added trt_name because I changed it on Anders…</t>
  </si>
  <si>
    <t>26s_pbuckwide</t>
  </si>
  <si>
    <t>26s_p</t>
  </si>
  <si>
    <t>26s_pbuck</t>
  </si>
  <si>
    <t>26s_pleg1</t>
  </si>
  <si>
    <t>26s_pleg2wide</t>
  </si>
  <si>
    <t>I have the plot so I don't actually need the name or trt_name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</si>
</sst>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0" borderId="1" xfId="0" applyBorder="1"/>
    <xf numFmtId="9" fontId="0" fillId="0" borderId="1" xfId="1" applyFont="1" applyBorder="1"/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D26D-58E6-4B13-B3DA-2DFBBC0E86E2}">
  <dimension ref="A1:I28"/>
  <sheetViews>
    <sheetView zoomScaleNormal="100" workbookViewId="0">
      <selection activeCell="E2" sqref="E2"/>
    </sheetView>
  </sheetViews>
  <sheetFormatPr defaultRowHeight="14.4" x14ac:dyDescent="0.3"/>
  <cols>
    <col min="2" max="2" width="15.88671875" bestFit="1" customWidth="1"/>
    <col min="3" max="3" width="14.21875" customWidth="1"/>
    <col min="4" max="4" width="4.6640625" bestFit="1" customWidth="1"/>
    <col min="5" max="5" width="14" bestFit="1" customWidth="1"/>
    <col min="6" max="6" width="17.21875" bestFit="1" customWidth="1"/>
    <col min="7" max="7" width="4.6640625" bestFit="1" customWidth="1"/>
    <col min="8" max="8" width="12.5546875" bestFit="1" customWidth="1"/>
    <col min="9" max="9" width="22.6640625" bestFit="1" customWidth="1"/>
  </cols>
  <sheetData>
    <row r="1" spans="1:9" x14ac:dyDescent="0.3">
      <c r="E1" t="s">
        <v>19</v>
      </c>
    </row>
    <row r="6" spans="1:9" ht="16.5" customHeight="1" x14ac:dyDescent="0.3">
      <c r="A6" s="1" t="s">
        <v>1</v>
      </c>
      <c r="B6" s="1" t="s">
        <v>2</v>
      </c>
      <c r="C6" s="1" t="s">
        <v>3</v>
      </c>
      <c r="D6" s="1" t="s">
        <v>4</v>
      </c>
      <c r="E6" s="1" t="s">
        <v>10</v>
      </c>
      <c r="F6" s="1" t="s">
        <v>11</v>
      </c>
      <c r="G6" s="1" t="s">
        <v>4</v>
      </c>
      <c r="H6" s="1" t="s">
        <v>12</v>
      </c>
      <c r="I6" s="1" t="s">
        <v>13</v>
      </c>
    </row>
    <row r="7" spans="1:9" ht="30" customHeight="1" x14ac:dyDescent="0.3">
      <c r="A7" s="2">
        <v>106</v>
      </c>
      <c r="B7" s="3" t="s">
        <v>0</v>
      </c>
      <c r="C7" s="8">
        <v>22</v>
      </c>
      <c r="D7" s="2" t="s">
        <v>9</v>
      </c>
      <c r="E7" s="6">
        <v>374.8</v>
      </c>
      <c r="F7" s="6">
        <v>121.55</v>
      </c>
      <c r="G7" s="6" t="s">
        <v>14</v>
      </c>
      <c r="H7" s="7">
        <f>F7/E7</f>
        <v>0.3243062966915688</v>
      </c>
      <c r="I7" s="9">
        <f>H7*C7</f>
        <v>7.1347385272145134</v>
      </c>
    </row>
    <row r="8" spans="1:9" ht="30" customHeight="1" x14ac:dyDescent="0.3">
      <c r="A8" s="2">
        <v>115</v>
      </c>
      <c r="B8" s="3" t="s">
        <v>5</v>
      </c>
      <c r="C8" s="8">
        <v>21.6</v>
      </c>
      <c r="D8" s="2" t="s">
        <v>9</v>
      </c>
      <c r="E8" s="6">
        <v>334.85</v>
      </c>
      <c r="F8" s="6">
        <v>106.07</v>
      </c>
      <c r="G8" s="6" t="s">
        <v>14</v>
      </c>
      <c r="H8" s="7">
        <f t="shared" ref="H8:H26" si="0">F8/E8</f>
        <v>0.31676870240406146</v>
      </c>
      <c r="I8" s="9">
        <f t="shared" ref="I8:I26" si="1">H8*C8</f>
        <v>6.8422039719277281</v>
      </c>
    </row>
    <row r="9" spans="1:9" ht="30" customHeight="1" x14ac:dyDescent="0.3">
      <c r="A9" s="2">
        <v>118</v>
      </c>
      <c r="B9" s="3" t="s">
        <v>6</v>
      </c>
      <c r="C9" s="8">
        <v>26.4</v>
      </c>
      <c r="D9" s="2" t="s">
        <v>9</v>
      </c>
      <c r="E9" s="6">
        <f>488.7-15.58</f>
        <v>473.12</v>
      </c>
      <c r="F9" s="6">
        <v>156.24</v>
      </c>
      <c r="G9" s="6" t="s">
        <v>14</v>
      </c>
      <c r="H9" s="7">
        <f t="shared" si="0"/>
        <v>0.33023334460601961</v>
      </c>
      <c r="I9" s="9">
        <f t="shared" si="1"/>
        <v>8.7181602975989172</v>
      </c>
    </row>
    <row r="10" spans="1:9" ht="30" customHeight="1" x14ac:dyDescent="0.3">
      <c r="A10" s="2">
        <v>125</v>
      </c>
      <c r="B10" s="3" t="s">
        <v>7</v>
      </c>
      <c r="C10" s="8">
        <v>27.6</v>
      </c>
      <c r="D10" s="2" t="s">
        <v>9</v>
      </c>
      <c r="E10" s="6">
        <f>453.89-15.58</f>
        <v>438.31</v>
      </c>
      <c r="F10" s="6">
        <v>138.88999999999999</v>
      </c>
      <c r="G10" s="6" t="s">
        <v>14</v>
      </c>
      <c r="H10" s="7">
        <f t="shared" si="0"/>
        <v>0.31687618352307723</v>
      </c>
      <c r="I10" s="9">
        <f t="shared" si="1"/>
        <v>8.7457826652369324</v>
      </c>
    </row>
    <row r="11" spans="1:9" ht="30" customHeight="1" x14ac:dyDescent="0.3">
      <c r="A11" s="2">
        <v>139</v>
      </c>
      <c r="B11" s="3" t="s">
        <v>8</v>
      </c>
      <c r="C11" s="8">
        <v>14.6</v>
      </c>
      <c r="D11" s="2" t="s">
        <v>9</v>
      </c>
      <c r="E11" s="6">
        <f>405.39-15.58</f>
        <v>389.81</v>
      </c>
      <c r="F11" s="6">
        <v>125.88</v>
      </c>
      <c r="G11" s="6" t="s">
        <v>14</v>
      </c>
      <c r="H11" s="7">
        <f t="shared" si="0"/>
        <v>0.32292655396218667</v>
      </c>
      <c r="I11" s="9">
        <f t="shared" si="1"/>
        <v>4.7147276878479252</v>
      </c>
    </row>
    <row r="12" spans="1:9" ht="30" customHeight="1" x14ac:dyDescent="0.3">
      <c r="A12" s="2">
        <v>202</v>
      </c>
      <c r="B12" s="3" t="s">
        <v>0</v>
      </c>
      <c r="C12" s="8">
        <v>23.3</v>
      </c>
      <c r="D12" s="2" t="s">
        <v>9</v>
      </c>
      <c r="E12" s="6">
        <v>469.74</v>
      </c>
      <c r="F12" s="6">
        <v>153.88</v>
      </c>
      <c r="G12" s="6" t="s">
        <v>14</v>
      </c>
      <c r="H12" s="7">
        <f t="shared" si="0"/>
        <v>0.32758547281474859</v>
      </c>
      <c r="I12" s="9">
        <f t="shared" si="1"/>
        <v>7.6327415165836427</v>
      </c>
    </row>
    <row r="13" spans="1:9" ht="30" customHeight="1" x14ac:dyDescent="0.3">
      <c r="A13" s="2">
        <v>206</v>
      </c>
      <c r="B13" s="3" t="s">
        <v>5</v>
      </c>
      <c r="C13" s="8">
        <v>22.4</v>
      </c>
      <c r="D13" s="2" t="s">
        <v>9</v>
      </c>
      <c r="E13" s="6">
        <v>487.73</v>
      </c>
      <c r="F13" s="6">
        <v>154.53</v>
      </c>
      <c r="G13" s="6" t="s">
        <v>14</v>
      </c>
      <c r="H13" s="7">
        <f t="shared" si="0"/>
        <v>0.31683513419309861</v>
      </c>
      <c r="I13" s="9">
        <f t="shared" si="1"/>
        <v>7.097107005925408</v>
      </c>
    </row>
    <row r="14" spans="1:9" ht="30" customHeight="1" x14ac:dyDescent="0.3">
      <c r="A14" s="2">
        <v>223</v>
      </c>
      <c r="B14" s="3" t="s">
        <v>6</v>
      </c>
      <c r="C14" s="8">
        <v>21.5</v>
      </c>
      <c r="D14" s="2" t="s">
        <v>9</v>
      </c>
      <c r="E14" s="6">
        <f>385.88-15.58</f>
        <v>370.3</v>
      </c>
      <c r="F14" s="6">
        <v>119.39</v>
      </c>
      <c r="G14" s="6" t="s">
        <v>14</v>
      </c>
      <c r="H14" s="7">
        <f t="shared" si="0"/>
        <v>0.32241425870915474</v>
      </c>
      <c r="I14" s="9">
        <f t="shared" si="1"/>
        <v>6.9319065622468266</v>
      </c>
    </row>
    <row r="15" spans="1:9" ht="30" customHeight="1" x14ac:dyDescent="0.3">
      <c r="A15" s="2">
        <v>247</v>
      </c>
      <c r="B15" s="3" t="s">
        <v>8</v>
      </c>
      <c r="C15" s="8">
        <v>16.100000000000001</v>
      </c>
      <c r="D15" s="2" t="s">
        <v>9</v>
      </c>
      <c r="E15" s="6">
        <f>361.56-15.58</f>
        <v>345.98</v>
      </c>
      <c r="F15" s="6">
        <v>110.56</v>
      </c>
      <c r="G15" s="6" t="s">
        <v>14</v>
      </c>
      <c r="H15" s="7">
        <f t="shared" si="0"/>
        <v>0.31955604370194807</v>
      </c>
      <c r="I15" s="9">
        <f t="shared" si="1"/>
        <v>5.1448523036013647</v>
      </c>
    </row>
    <row r="16" spans="1:9" ht="30" customHeight="1" x14ac:dyDescent="0.3">
      <c r="A16" s="2">
        <v>252</v>
      </c>
      <c r="B16" s="3" t="s">
        <v>7</v>
      </c>
      <c r="C16" s="8">
        <v>11.6</v>
      </c>
      <c r="D16" s="2" t="s">
        <v>9</v>
      </c>
      <c r="E16" s="6">
        <v>265.95</v>
      </c>
      <c r="F16" s="6">
        <v>76.569999999999993</v>
      </c>
      <c r="G16" s="6" t="s">
        <v>14</v>
      </c>
      <c r="H16" s="7">
        <f t="shared" si="0"/>
        <v>0.28791126151532243</v>
      </c>
      <c r="I16" s="9">
        <f>H16*C16</f>
        <v>3.3397706335777402</v>
      </c>
    </row>
    <row r="17" spans="1:9" ht="30" customHeight="1" x14ac:dyDescent="0.3">
      <c r="A17" s="2">
        <v>313</v>
      </c>
      <c r="B17" s="3" t="s">
        <v>8</v>
      </c>
      <c r="C17" s="8">
        <v>23.5</v>
      </c>
      <c r="D17" s="2" t="s">
        <v>9</v>
      </c>
      <c r="E17" s="6">
        <v>367.95</v>
      </c>
      <c r="F17" s="6">
        <v>122.79</v>
      </c>
      <c r="G17" s="6" t="s">
        <v>14</v>
      </c>
      <c r="H17" s="7">
        <f t="shared" si="0"/>
        <v>0.33371381981247455</v>
      </c>
      <c r="I17" s="9">
        <f t="shared" si="1"/>
        <v>7.8422747655931522</v>
      </c>
    </row>
    <row r="18" spans="1:9" ht="30" customHeight="1" x14ac:dyDescent="0.3">
      <c r="A18" s="2">
        <v>314</v>
      </c>
      <c r="B18" s="3" t="s">
        <v>0</v>
      </c>
      <c r="C18" s="8">
        <v>20.5</v>
      </c>
      <c r="D18" s="2" t="s">
        <v>9</v>
      </c>
      <c r="E18" s="6">
        <v>272.57</v>
      </c>
      <c r="F18" s="6">
        <v>100.94</v>
      </c>
      <c r="G18" s="6" t="s">
        <v>14</v>
      </c>
      <c r="H18" s="7">
        <f t="shared" si="0"/>
        <v>0.37032688850570494</v>
      </c>
      <c r="I18" s="9">
        <f t="shared" si="1"/>
        <v>7.5917012143669513</v>
      </c>
    </row>
    <row r="19" spans="1:9" ht="30" customHeight="1" x14ac:dyDescent="0.3">
      <c r="A19" s="2">
        <v>328</v>
      </c>
      <c r="B19" s="3" t="s">
        <v>7</v>
      </c>
      <c r="C19" s="8">
        <v>31.3</v>
      </c>
      <c r="D19" s="2" t="s">
        <v>9</v>
      </c>
      <c r="E19" s="6">
        <v>407.2</v>
      </c>
      <c r="F19" s="6">
        <v>136.80000000000001</v>
      </c>
      <c r="G19" s="6" t="s">
        <v>14</v>
      </c>
      <c r="H19" s="7">
        <f t="shared" si="0"/>
        <v>0.33595284872298631</v>
      </c>
      <c r="I19" s="9">
        <f t="shared" si="1"/>
        <v>10.515324165029472</v>
      </c>
    </row>
    <row r="20" spans="1:9" ht="30" customHeight="1" x14ac:dyDescent="0.3">
      <c r="A20" s="2">
        <v>335</v>
      </c>
      <c r="B20" s="3" t="s">
        <v>6</v>
      </c>
      <c r="C20" s="8">
        <v>24.2</v>
      </c>
      <c r="D20" s="2" t="s">
        <v>9</v>
      </c>
      <c r="E20" s="6">
        <f>483.96-15.58</f>
        <v>468.38</v>
      </c>
      <c r="F20" s="6">
        <v>161.41999999999999</v>
      </c>
      <c r="G20" s="6" t="s">
        <v>14</v>
      </c>
      <c r="H20" s="7">
        <f t="shared" si="0"/>
        <v>0.34463469832187538</v>
      </c>
      <c r="I20" s="9">
        <f t="shared" si="1"/>
        <v>8.3401596993893836</v>
      </c>
    </row>
    <row r="21" spans="1:9" ht="30" customHeight="1" x14ac:dyDescent="0.3">
      <c r="A21" s="2">
        <v>350</v>
      </c>
      <c r="B21" s="3" t="s">
        <v>5</v>
      </c>
      <c r="C21" s="8">
        <v>22.4</v>
      </c>
      <c r="D21" s="2" t="s">
        <v>9</v>
      </c>
      <c r="E21" s="6">
        <v>425.21</v>
      </c>
      <c r="F21" s="6">
        <v>138.71</v>
      </c>
      <c r="G21" s="6" t="s">
        <v>14</v>
      </c>
      <c r="H21" s="7">
        <f t="shared" si="0"/>
        <v>0.32621528186072768</v>
      </c>
      <c r="I21" s="9">
        <f t="shared" si="1"/>
        <v>7.3072223136802998</v>
      </c>
    </row>
    <row r="22" spans="1:9" ht="30" customHeight="1" x14ac:dyDescent="0.3">
      <c r="A22" s="2">
        <v>411</v>
      </c>
      <c r="B22" s="3" t="s">
        <v>8</v>
      </c>
      <c r="C22" s="8">
        <v>26.6</v>
      </c>
      <c r="D22" s="2" t="s">
        <v>9</v>
      </c>
      <c r="E22" s="6">
        <v>461.26</v>
      </c>
      <c r="F22" s="6">
        <v>152.09</v>
      </c>
      <c r="G22" s="6" t="s">
        <v>14</v>
      </c>
      <c r="H22" s="7">
        <f t="shared" si="0"/>
        <v>0.32972726878550063</v>
      </c>
      <c r="I22" s="9">
        <f t="shared" si="1"/>
        <v>8.7707453496943177</v>
      </c>
    </row>
    <row r="23" spans="1:9" ht="30" customHeight="1" x14ac:dyDescent="0.3">
      <c r="A23" s="2">
        <v>415</v>
      </c>
      <c r="B23" s="3" t="s">
        <v>7</v>
      </c>
      <c r="C23" s="8">
        <v>19</v>
      </c>
      <c r="D23" s="2" t="s">
        <v>9</v>
      </c>
      <c r="E23" s="6">
        <v>415.77</v>
      </c>
      <c r="F23" s="6">
        <v>138.49</v>
      </c>
      <c r="G23" s="6" t="s">
        <v>14</v>
      </c>
      <c r="H23" s="7">
        <f t="shared" si="0"/>
        <v>0.33309281573947136</v>
      </c>
      <c r="I23" s="9">
        <f t="shared" si="1"/>
        <v>6.3287634990499555</v>
      </c>
    </row>
    <row r="24" spans="1:9" ht="30" customHeight="1" x14ac:dyDescent="0.3">
      <c r="A24" s="2">
        <v>416</v>
      </c>
      <c r="B24" s="3" t="s">
        <v>6</v>
      </c>
      <c r="C24" s="8">
        <v>19.399999999999999</v>
      </c>
      <c r="D24" s="2" t="s">
        <v>9</v>
      </c>
      <c r="E24" s="6">
        <v>376.17</v>
      </c>
      <c r="F24" s="6">
        <v>121.03</v>
      </c>
      <c r="G24" s="6" t="s">
        <v>14</v>
      </c>
      <c r="H24" s="7">
        <f t="shared" si="0"/>
        <v>0.32174282904006168</v>
      </c>
      <c r="I24" s="9">
        <f t="shared" si="1"/>
        <v>6.2418108833771964</v>
      </c>
    </row>
    <row r="25" spans="1:9" ht="30" customHeight="1" x14ac:dyDescent="0.3">
      <c r="A25" s="2">
        <v>420</v>
      </c>
      <c r="B25" s="3" t="s">
        <v>0</v>
      </c>
      <c r="C25" s="8">
        <v>19.2</v>
      </c>
      <c r="D25" s="2" t="s">
        <v>9</v>
      </c>
      <c r="E25" s="6">
        <v>324.24</v>
      </c>
      <c r="F25" s="6">
        <v>108.57</v>
      </c>
      <c r="G25" s="6" t="s">
        <v>14</v>
      </c>
      <c r="H25" s="7">
        <f t="shared" si="0"/>
        <v>0.3348445595854922</v>
      </c>
      <c r="I25" s="9">
        <f t="shared" si="1"/>
        <v>6.4290155440414498</v>
      </c>
    </row>
    <row r="26" spans="1:9" ht="30" customHeight="1" x14ac:dyDescent="0.3">
      <c r="A26" s="2">
        <v>421</v>
      </c>
      <c r="B26" s="3" t="s">
        <v>5</v>
      </c>
      <c r="C26" s="8">
        <v>16.8</v>
      </c>
      <c r="D26" s="2" t="s">
        <v>9</v>
      </c>
      <c r="E26" s="6">
        <f>436.22-15.58</f>
        <v>420.64000000000004</v>
      </c>
      <c r="F26" s="6">
        <v>135.08000000000001</v>
      </c>
      <c r="G26" s="6" t="s">
        <v>14</v>
      </c>
      <c r="H26" s="7">
        <f t="shared" si="0"/>
        <v>0.32112970711297073</v>
      </c>
      <c r="I26" s="9">
        <f t="shared" si="1"/>
        <v>5.3949790794979089</v>
      </c>
    </row>
    <row r="27" spans="1:9" x14ac:dyDescent="0.3">
      <c r="A27" s="4"/>
      <c r="B27" s="5"/>
      <c r="C27" s="5"/>
      <c r="D27" s="5"/>
    </row>
    <row r="28" spans="1:9" x14ac:dyDescent="0.3">
      <c r="A28" s="5"/>
      <c r="B28" s="5"/>
      <c r="C28" s="5"/>
      <c r="D28" s="5"/>
    </row>
  </sheetData>
  <pageMargins left="0.7" right="0.7" top="0.75" bottom="0.75" header="0.3" footer="0.3"/>
  <pageSetup orientation="portrait" r:id="rId1"/>
  <headerFooter>
    <oddHeader>&amp;L&amp;14Weight on grass-harvester
&amp;C&amp;14Forageharvest Climax&amp;R&amp;14 21-07-2026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1DE5C-1FA6-49F4-A51C-B420B2F3F61C}">
  <dimension ref="A1:H26"/>
  <sheetViews>
    <sheetView tabSelected="1" workbookViewId="0">
      <selection activeCell="F18" sqref="F18"/>
    </sheetView>
  </sheetViews>
  <sheetFormatPr defaultRowHeight="14.4" x14ac:dyDescent="0.3"/>
  <cols>
    <col min="2" max="3" width="21.21875" customWidth="1"/>
  </cols>
  <sheetData>
    <row r="1" spans="1:8" x14ac:dyDescent="0.3">
      <c r="A1" t="s">
        <v>20</v>
      </c>
    </row>
    <row r="2" spans="1:8" x14ac:dyDescent="0.3">
      <c r="A2" t="s">
        <v>21</v>
      </c>
    </row>
    <row r="3" spans="1:8" x14ac:dyDescent="0.3">
      <c r="A3" t="s">
        <v>23</v>
      </c>
    </row>
    <row r="4" spans="1:8" x14ac:dyDescent="0.3">
      <c r="A4" t="s">
        <v>29</v>
      </c>
    </row>
    <row r="6" spans="1:8" x14ac:dyDescent="0.3">
      <c r="A6" t="s">
        <v>1</v>
      </c>
      <c r="B6" t="s">
        <v>2</v>
      </c>
      <c r="C6" t="s">
        <v>22</v>
      </c>
      <c r="D6" t="s">
        <v>15</v>
      </c>
      <c r="E6" t="s">
        <v>16</v>
      </c>
      <c r="F6" t="s">
        <v>17</v>
      </c>
      <c r="G6" t="s">
        <v>18</v>
      </c>
      <c r="H6" t="s">
        <v>4</v>
      </c>
    </row>
    <row r="7" spans="1:8" x14ac:dyDescent="0.3">
      <c r="A7">
        <v>106</v>
      </c>
      <c r="B7" t="s">
        <v>0</v>
      </c>
      <c r="C7" t="s">
        <v>24</v>
      </c>
      <c r="D7">
        <v>115.07</v>
      </c>
      <c r="E7">
        <v>39.19</v>
      </c>
      <c r="F7">
        <v>2.83</v>
      </c>
      <c r="G7">
        <v>157.09</v>
      </c>
      <c r="H7" t="s">
        <v>14</v>
      </c>
    </row>
    <row r="8" spans="1:8" x14ac:dyDescent="0.3">
      <c r="A8">
        <v>115</v>
      </c>
      <c r="B8" t="s">
        <v>5</v>
      </c>
      <c r="C8" t="s">
        <v>25</v>
      </c>
      <c r="D8">
        <v>125.9</v>
      </c>
      <c r="F8">
        <v>8.75</v>
      </c>
      <c r="G8">
        <v>134.65</v>
      </c>
      <c r="H8" t="s">
        <v>14</v>
      </c>
    </row>
    <row r="9" spans="1:8" x14ac:dyDescent="0.3">
      <c r="A9">
        <v>118</v>
      </c>
      <c r="B9" t="s">
        <v>6</v>
      </c>
      <c r="C9" t="s">
        <v>26</v>
      </c>
      <c r="D9">
        <v>114.95</v>
      </c>
      <c r="E9">
        <v>27.2</v>
      </c>
      <c r="F9">
        <v>20.54</v>
      </c>
      <c r="G9">
        <v>162.69</v>
      </c>
      <c r="H9" t="s">
        <v>14</v>
      </c>
    </row>
    <row r="10" spans="1:8" x14ac:dyDescent="0.3">
      <c r="A10">
        <v>125</v>
      </c>
      <c r="B10" t="s">
        <v>7</v>
      </c>
      <c r="C10" t="s">
        <v>27</v>
      </c>
      <c r="D10">
        <v>155.69</v>
      </c>
      <c r="E10">
        <v>29.78</v>
      </c>
      <c r="F10">
        <v>13.18</v>
      </c>
      <c r="G10">
        <v>198.65</v>
      </c>
      <c r="H10" t="s">
        <v>14</v>
      </c>
    </row>
    <row r="11" spans="1:8" x14ac:dyDescent="0.3">
      <c r="A11">
        <v>139</v>
      </c>
      <c r="B11" t="s">
        <v>8</v>
      </c>
      <c r="C11" t="s">
        <v>28</v>
      </c>
      <c r="D11">
        <v>109.81</v>
      </c>
      <c r="E11">
        <v>8.76</v>
      </c>
      <c r="F11">
        <v>4.8899999999999997</v>
      </c>
      <c r="G11">
        <v>123.46000000000001</v>
      </c>
      <c r="H11" t="s">
        <v>14</v>
      </c>
    </row>
    <row r="12" spans="1:8" x14ac:dyDescent="0.3">
      <c r="A12">
        <v>202</v>
      </c>
      <c r="B12" t="s">
        <v>0</v>
      </c>
      <c r="C12" t="s">
        <v>24</v>
      </c>
      <c r="D12">
        <v>141.69</v>
      </c>
      <c r="E12">
        <v>39.69</v>
      </c>
      <c r="F12">
        <v>12.28</v>
      </c>
      <c r="G12">
        <v>193.66</v>
      </c>
      <c r="H12" t="s">
        <v>14</v>
      </c>
    </row>
    <row r="13" spans="1:8" x14ac:dyDescent="0.3">
      <c r="A13">
        <v>206</v>
      </c>
      <c r="B13" t="s">
        <v>5</v>
      </c>
      <c r="C13" t="s">
        <v>25</v>
      </c>
      <c r="D13">
        <v>145.04</v>
      </c>
      <c r="F13">
        <v>9.3699999999999992</v>
      </c>
      <c r="G13">
        <v>154.41</v>
      </c>
      <c r="H13" t="s">
        <v>14</v>
      </c>
    </row>
    <row r="14" spans="1:8" x14ac:dyDescent="0.3">
      <c r="A14">
        <v>223</v>
      </c>
      <c r="B14" t="s">
        <v>6</v>
      </c>
      <c r="C14" t="s">
        <v>26</v>
      </c>
      <c r="D14">
        <v>138.19</v>
      </c>
      <c r="E14">
        <v>25.4</v>
      </c>
      <c r="F14">
        <v>11.56</v>
      </c>
      <c r="G14">
        <v>175.15</v>
      </c>
      <c r="H14" t="s">
        <v>14</v>
      </c>
    </row>
    <row r="15" spans="1:8" x14ac:dyDescent="0.3">
      <c r="A15">
        <v>247</v>
      </c>
      <c r="B15" t="s">
        <v>8</v>
      </c>
      <c r="C15" t="s">
        <v>28</v>
      </c>
      <c r="D15">
        <v>108.37</v>
      </c>
      <c r="E15">
        <v>13.58</v>
      </c>
      <c r="F15">
        <v>7.24</v>
      </c>
      <c r="G15">
        <v>129.19</v>
      </c>
      <c r="H15" t="s">
        <v>14</v>
      </c>
    </row>
    <row r="16" spans="1:8" x14ac:dyDescent="0.3">
      <c r="A16">
        <v>252</v>
      </c>
      <c r="B16" t="s">
        <v>7</v>
      </c>
      <c r="C16" t="s">
        <v>27</v>
      </c>
      <c r="D16">
        <v>77.34</v>
      </c>
      <c r="E16">
        <v>14.18</v>
      </c>
      <c r="F16">
        <v>12.92</v>
      </c>
      <c r="G16">
        <v>104.44000000000001</v>
      </c>
      <c r="H16" t="s">
        <v>14</v>
      </c>
    </row>
    <row r="17" spans="1:8" x14ac:dyDescent="0.3">
      <c r="A17">
        <v>313</v>
      </c>
      <c r="B17" t="s">
        <v>8</v>
      </c>
      <c r="C17" t="s">
        <v>28</v>
      </c>
      <c r="D17">
        <v>106.58</v>
      </c>
      <c r="E17">
        <v>84.19</v>
      </c>
      <c r="F17">
        <v>40.94</v>
      </c>
      <c r="G17">
        <v>231.70999999999998</v>
      </c>
      <c r="H17" t="s">
        <v>14</v>
      </c>
    </row>
    <row r="18" spans="1:8" x14ac:dyDescent="0.3">
      <c r="A18">
        <v>314</v>
      </c>
      <c r="B18" t="s">
        <v>0</v>
      </c>
      <c r="C18" t="s">
        <v>24</v>
      </c>
      <c r="D18">
        <v>104.32</v>
      </c>
      <c r="E18">
        <v>82.92</v>
      </c>
      <c r="F18">
        <v>6.07</v>
      </c>
      <c r="G18">
        <v>193.31</v>
      </c>
      <c r="H18" t="s">
        <v>14</v>
      </c>
    </row>
    <row r="19" spans="1:8" x14ac:dyDescent="0.3">
      <c r="A19">
        <v>328</v>
      </c>
      <c r="B19" t="s">
        <v>7</v>
      </c>
      <c r="C19" t="s">
        <v>27</v>
      </c>
      <c r="D19">
        <v>153.21</v>
      </c>
      <c r="E19">
        <v>37.229999999999997</v>
      </c>
      <c r="F19">
        <v>20.29</v>
      </c>
      <c r="G19">
        <v>210.73</v>
      </c>
      <c r="H19" t="s">
        <v>14</v>
      </c>
    </row>
    <row r="20" spans="1:8" x14ac:dyDescent="0.3">
      <c r="A20">
        <v>335</v>
      </c>
      <c r="B20" t="s">
        <v>6</v>
      </c>
      <c r="C20" t="s">
        <v>26</v>
      </c>
      <c r="D20">
        <v>140.55000000000001</v>
      </c>
      <c r="E20">
        <v>24.23</v>
      </c>
      <c r="F20">
        <v>0.99</v>
      </c>
      <c r="G20">
        <v>165.77</v>
      </c>
      <c r="H20" t="s">
        <v>14</v>
      </c>
    </row>
    <row r="21" spans="1:8" x14ac:dyDescent="0.3">
      <c r="A21">
        <v>350</v>
      </c>
      <c r="B21" t="s">
        <v>5</v>
      </c>
      <c r="C21" t="s">
        <v>25</v>
      </c>
      <c r="D21">
        <v>174.53</v>
      </c>
      <c r="F21">
        <v>5.28</v>
      </c>
      <c r="G21">
        <v>179.81</v>
      </c>
      <c r="H21" t="s">
        <v>14</v>
      </c>
    </row>
    <row r="22" spans="1:8" x14ac:dyDescent="0.3">
      <c r="A22">
        <v>411</v>
      </c>
      <c r="B22" t="s">
        <v>8</v>
      </c>
      <c r="C22" t="s">
        <v>28</v>
      </c>
      <c r="D22">
        <v>134.09</v>
      </c>
      <c r="E22">
        <v>2.31</v>
      </c>
      <c r="F22">
        <v>27.68</v>
      </c>
      <c r="G22">
        <v>164.08</v>
      </c>
      <c r="H22" t="s">
        <v>14</v>
      </c>
    </row>
    <row r="23" spans="1:8" x14ac:dyDescent="0.3">
      <c r="A23">
        <v>415</v>
      </c>
      <c r="B23" t="s">
        <v>7</v>
      </c>
      <c r="C23" t="s">
        <v>27</v>
      </c>
      <c r="D23">
        <v>138.6</v>
      </c>
      <c r="E23">
        <v>13.74</v>
      </c>
      <c r="F23">
        <v>18.93</v>
      </c>
      <c r="G23">
        <v>171.27</v>
      </c>
      <c r="H23" t="s">
        <v>14</v>
      </c>
    </row>
    <row r="24" spans="1:8" x14ac:dyDescent="0.3">
      <c r="A24">
        <v>416</v>
      </c>
      <c r="B24" t="s">
        <v>6</v>
      </c>
      <c r="C24" t="s">
        <v>26</v>
      </c>
      <c r="D24">
        <v>126.14</v>
      </c>
      <c r="E24">
        <v>14.44</v>
      </c>
      <c r="F24">
        <v>11.64</v>
      </c>
      <c r="G24">
        <v>152.22000000000003</v>
      </c>
      <c r="H24" t="s">
        <v>14</v>
      </c>
    </row>
    <row r="25" spans="1:8" x14ac:dyDescent="0.3">
      <c r="A25">
        <v>420</v>
      </c>
      <c r="B25" t="s">
        <v>0</v>
      </c>
      <c r="C25" t="s">
        <v>24</v>
      </c>
      <c r="D25">
        <v>123.05</v>
      </c>
      <c r="E25">
        <v>26.91</v>
      </c>
      <c r="F25">
        <v>8.33</v>
      </c>
      <c r="G25">
        <v>158.29000000000002</v>
      </c>
      <c r="H25" t="s">
        <v>14</v>
      </c>
    </row>
    <row r="26" spans="1:8" x14ac:dyDescent="0.3">
      <c r="A26">
        <v>421</v>
      </c>
      <c r="B26" t="s">
        <v>5</v>
      </c>
      <c r="C26" t="s">
        <v>25</v>
      </c>
      <c r="D26">
        <v>120.84</v>
      </c>
      <c r="F26">
        <v>6.36</v>
      </c>
      <c r="G26">
        <v>127.2</v>
      </c>
      <c r="H26" t="s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TemplateConfiguration><![CDATA[{"transformationConfigurations":[],"templateName":"blankspreadsheet","templateDescription":"","enableDocumentContentUpdater":false,"version":"2.0"}]]></TemplafyTemplateConfiguration>
</file>

<file path=customXml/item2.xml><?xml version="1.0" encoding="utf-8"?>
<TemplafyFormConfiguration><![CDATA[{"formFields":[],"formDataEntries":[]}]]></TemplafyFormConfiguration>
</file>

<file path=customXml/itemProps1.xml><?xml version="1.0" encoding="utf-8"?>
<ds:datastoreItem xmlns:ds="http://schemas.openxmlformats.org/officeDocument/2006/customXml" ds:itemID="{7408D0D6-C97A-426B-8466-DDDAA7A3F420}">
  <ds:schemaRefs/>
</ds:datastoreItem>
</file>

<file path=customXml/itemProps2.xml><?xml version="1.0" encoding="utf-8"?>
<ds:datastoreItem xmlns:ds="http://schemas.openxmlformats.org/officeDocument/2006/customXml" ds:itemID="{613AEFFE-C095-42A7-A0AC-5564FFC1D197}">
  <ds:schemaRefs/>
</ds:datastoreItem>
</file>

<file path=docMetadata/LabelInfo.xml><?xml version="1.0" encoding="utf-8"?>
<clbl:labelList xmlns:clbl="http://schemas.microsoft.com/office/2020/mipLabelMetadata">
  <clbl:label id="{61fd1d36-fecb-47ca-b7d7-d0df0370a198}" enabled="0" method="" siteId="{61fd1d36-fecb-47ca-b7d7-d0df0370a19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machine</vt:lpstr>
      <vt:lpstr>hand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2025-07-30T05:48:00Z</dcterms:created>
  <dcterms:modified xsi:type="dcterms:W3CDTF">2026-07-28T11:13:15Z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1209922257684795960</vt:lpwstr>
  </property>
  <property fmtid="{D5CDD505-2E9C-101B-9397-08002B2CF9AE}" pid="5" name="TemplafyLanguageCode">
    <vt:lpwstr>da-DK</vt:lpwstr>
  </property>
  <property fmtid="{D5CDD505-2E9C-101B-9397-08002B2CF9AE}" pid="6" name="TemplafyFromBlank">
    <vt:bool>true</vt:bool>
  </property>
</Properties>
</file>